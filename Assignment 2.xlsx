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av\OneDrive\Documents\"/>
    </mc:Choice>
  </mc:AlternateContent>
  <xr:revisionPtr revIDLastSave="0" documentId="8_{FE6366CC-C54F-449F-BC34-4E63565D1BD0}" xr6:coauthVersionLast="47" xr6:coauthVersionMax="47" xr10:uidLastSave="{00000000-0000-0000-0000-000000000000}"/>
  <bookViews>
    <workbookView xWindow="-110" yWindow="-110" windowWidth="19420" windowHeight="11500" activeTab="2" xr2:uid="{ADBA92BC-7119-4C2F-9D73-CA3159846137}"/>
  </bookViews>
  <sheets>
    <sheet name="Q 2" sheetId="4" r:id="rId1"/>
    <sheet name="Q 3" sheetId="5" r:id="rId2"/>
    <sheet name="Q 7" sheetId="9" r:id="rId3"/>
    <sheet name="Q 4,5,6,,8" sheetId="2" r:id="rId4"/>
  </sheets>
  <calcPr calcId="191029"/>
  <pivotCaches>
    <pivotCache cacheId="5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2" l="1"/>
  <c r="B53" i="2"/>
  <c r="B6" i="5"/>
  <c r="B5" i="4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</calcChain>
</file>

<file path=xl/sharedStrings.xml><?xml version="1.0" encoding="utf-8"?>
<sst xmlns="http://schemas.openxmlformats.org/spreadsheetml/2006/main" count="180" uniqueCount="83">
  <si>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</si>
  <si>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</si>
  <si>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</si>
  <si>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</si>
  <si>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</si>
  <si>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</si>
  <si>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</si>
  <si>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</si>
  <si>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</si>
  <si>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</si>
  <si>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</si>
  <si>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</si>
  <si>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</si>
  <si>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</si>
  <si>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</si>
  <si>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</si>
  <si>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</si>
  <si>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</si>
  <si>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</si>
  <si>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</si>
  <si>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</si>
  <si>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</si>
  <si>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</si>
  <si>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</si>
  <si>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</si>
  <si>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</si>
  <si>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</si>
  <si>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</si>
  <si>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</si>
  <si>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</si>
  <si>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</si>
  <si>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</si>
  <si>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</si>
  <si>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</si>
  <si>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</si>
  <si>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</si>
  <si>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</si>
  <si>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</si>
  <si>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</si>
  <si>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</si>
  <si>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</si>
  <si>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</si>
  <si>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</si>
  <si>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</si>
  <si>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</si>
  <si>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</si>
  <si>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</si>
  <si>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</si>
  <si>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</si>
  <si>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</si>
  <si>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</si>
  <si>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</si>
  <si>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</si>
  <si>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</si>
  <si>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</si>
  <si>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</si>
  <si>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</si>
  <si>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</si>
  <si>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</si>
  <si>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</si>
  <si>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</si>
  <si>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</si>
  <si>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</si>
  <si>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</si>
  <si>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</si>
  <si>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</si>
  <si>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</si>
  <si>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VEHICLE</t>
  </si>
  <si>
    <t>PRICE</t>
  </si>
  <si>
    <t>Car</t>
  </si>
  <si>
    <t>Bicycle</t>
  </si>
  <si>
    <t>Auto-Rickshaw</t>
  </si>
  <si>
    <t>Total sales of bicycle and car</t>
  </si>
  <si>
    <t>Item</t>
  </si>
  <si>
    <t>Price</t>
  </si>
  <si>
    <t>Sales</t>
  </si>
  <si>
    <t>Item A</t>
  </si>
  <si>
    <t>Item B</t>
  </si>
  <si>
    <t>Item C</t>
  </si>
  <si>
    <t>Average sales &gt;100,&lt;300</t>
  </si>
  <si>
    <t>Q4.Total customer names</t>
  </si>
  <si>
    <t xml:space="preserve">Q5.Total sales </t>
  </si>
  <si>
    <t xml:space="preserve">Q6.Total sales of notebook in north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</si>
</sst>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3" borderId="1" xfId="0" applyFont="1" applyFill="1" applyBorder="1"/>
    <xf numFmtId="0" fontId="0" fillId="3" borderId="1" xfId="0" applyFill="1" applyBorder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5" borderId="1" xfId="0" applyFill="1" applyBorder="1"/>
    <xf numFmtId="0" fontId="0" fillId="5" borderId="1" xfId="0" applyNumberFormat="1" applyFill="1" applyBorder="1"/>
    <xf numFmtId="0" fontId="1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10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2.xlsx]Q 7!PivotTable38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 7'!$A$4:$A$8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 7'!$B$4:$B$8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4-4BA8-A577-7D3E65C2E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9343808"/>
        <c:axId val="1469343328"/>
      </c:barChart>
      <c:catAx>
        <c:axId val="14693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43328"/>
        <c:crosses val="autoZero"/>
        <c:auto val="1"/>
        <c:lblAlgn val="ctr"/>
        <c:lblOffset val="100"/>
        <c:noMultiLvlLbl val="0"/>
      </c:catAx>
      <c:valAx>
        <c:axId val="14693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Q8.Daily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179224796262609E-2"/>
          <c:y val="0"/>
          <c:w val="0.93091420473400877"/>
          <c:h val="0.75862940387071742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 4,5,6,,8'!$G$2:$G$51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 4,5,6,,8'!$H$2:$H$51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5-4233-A12F-B1D8CE96D0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72641056"/>
        <c:axId val="1472639616"/>
      </c:lineChart>
      <c:dateAx>
        <c:axId val="1472641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39616"/>
        <c:crosses val="autoZero"/>
        <c:auto val="1"/>
        <c:lblOffset val="100"/>
        <c:baseTimeUnit val="days"/>
      </c:dateAx>
      <c:valAx>
        <c:axId val="147263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264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473074</xdr:colOff>
      <xdr:row>1</xdr:row>
      <xdr:rowOff>19050</xdr:rowOff>
    </xdr:from>
    <xdr:to>
      <xdr:col>14</xdr:col>
      <xdr:colOff>450850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EE1F8-932C-285E-7B67-35A18FC64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117474</xdr:colOff>
      <xdr:row>1</xdr:row>
      <xdr:rowOff>50800</xdr:rowOff>
    </xdr:from>
    <xdr:to>
      <xdr:col>29</xdr:col>
      <xdr:colOff>39077</xdr:colOff>
      <xdr:row>34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63C0E-5920-56FE-6DB3-FDD3CF1E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vinder yadav" refreshedDate="45971.574269907411" createdVersion="8" refreshedVersion="8" minRefreshableVersion="3" recordCount="50" xr:uid="{A1745DF9-C45C-471B-AE62-7A9482E939A0}">
  <cacheSource type="worksheet">
    <worksheetSource ref="A1:B51" sheet="Sheet7"/>
  </cacheSource>
  <cacheFields count="2">
    <cacheField name="Product" numFmtId="0">
      <sharedItems count="5">
        <s v="Notebook"/>
        <s v="Pen"/>
        <s v="Marker"/>
        <s v="Pencil"/>
        <s v="Eraser"/>
      </sharedItems>
    </cacheField>
    <cacheField name="Q5.Total sales 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500"/>
  </r>
  <r>
    <x v="1"/>
    <n v="200"/>
  </r>
  <r>
    <x v="2"/>
    <n v="375"/>
  </r>
  <r>
    <x v="0"/>
    <n v="250"/>
  </r>
  <r>
    <x v="3"/>
    <n v="150"/>
  </r>
  <r>
    <x v="0"/>
    <n v="600"/>
  </r>
  <r>
    <x v="4"/>
    <n v="200"/>
  </r>
  <r>
    <x v="1"/>
    <n v="180"/>
  </r>
  <r>
    <x v="2"/>
    <n v="550"/>
  </r>
  <r>
    <x v="0"/>
    <n v="400"/>
  </r>
  <r>
    <x v="3"/>
    <n v="200"/>
  </r>
  <r>
    <x v="4"/>
    <n v="280"/>
  </r>
  <r>
    <x v="0"/>
    <n v="700"/>
  </r>
  <r>
    <x v="1"/>
    <n v="280"/>
  </r>
  <r>
    <x v="2"/>
    <n v="300"/>
  </r>
  <r>
    <x v="3"/>
    <n v="125"/>
  </r>
  <r>
    <x v="4"/>
    <n v="160"/>
  </r>
  <r>
    <x v="0"/>
    <n v="500"/>
  </r>
  <r>
    <x v="1"/>
    <n v="150"/>
  </r>
  <r>
    <x v="2"/>
    <n v="450"/>
  </r>
  <r>
    <x v="0"/>
    <n v="450"/>
  </r>
  <r>
    <x v="3"/>
    <n v="175"/>
  </r>
  <r>
    <x v="4"/>
    <n v="240"/>
  </r>
  <r>
    <x v="0"/>
    <n v="550"/>
  </r>
  <r>
    <x v="1"/>
    <n v="140"/>
  </r>
  <r>
    <x v="2"/>
    <n v="400"/>
  </r>
  <r>
    <x v="3"/>
    <n v="110"/>
  </r>
  <r>
    <x v="4"/>
    <n v="216"/>
  </r>
  <r>
    <x v="0"/>
    <n v="650"/>
  </r>
  <r>
    <x v="1"/>
    <n v="320"/>
  </r>
  <r>
    <x v="2"/>
    <n v="250"/>
  </r>
  <r>
    <x v="3"/>
    <n v="90"/>
  </r>
  <r>
    <x v="4"/>
    <n v="176"/>
  </r>
  <r>
    <x v="0"/>
    <n v="850"/>
  </r>
  <r>
    <x v="1"/>
    <n v="190"/>
  </r>
  <r>
    <x v="2"/>
    <n v="375"/>
  </r>
  <r>
    <x v="3"/>
    <n v="140"/>
  </r>
  <r>
    <x v="4"/>
    <n v="192"/>
  </r>
  <r>
    <x v="0"/>
    <n v="800"/>
  </r>
  <r>
    <x v="1"/>
    <n v="270"/>
  </r>
  <r>
    <x v="2"/>
    <n v="525"/>
  </r>
  <r>
    <x v="3"/>
    <n v="150"/>
  </r>
  <r>
    <x v="4"/>
    <n v="208"/>
  </r>
  <r>
    <x v="0"/>
    <n v="700"/>
  </r>
  <r>
    <x v="1"/>
    <n v="200"/>
  </r>
  <r>
    <x v="2"/>
    <n v="425"/>
  </r>
  <r>
    <x v="3"/>
    <n v="95"/>
  </r>
  <r>
    <x v="4"/>
    <n v="256"/>
  </r>
  <r>
    <x v="0"/>
    <n v="600"/>
  </r>
  <r>
    <x v="1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AD516-C8C7-4D65-B5BE-65DDA2119D19}" name="PivotTable38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8" firstHeaderRow="1" firstDataRow="1" firstDataCol="1"/>
  <pivotFields count="2"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ales " fld="1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F63-A691-4618-86CA-53FC29D3808C}">
  <dimension ref="A1:B5"/>
  <sheetViews>
    <sheetView workbookViewId="0">
      <selection activeCell="B5" sqref="B5"/>
    </sheetView>
  </sheetViews>
  <sheetFormatPr defaultRowHeight="14.5" x14ac:dyDescent="0.35"/>
  <cols>
    <col min="1" max="1" width="16.1796875" customWidth="1"/>
    <col min="2" max="2" width="13.54296875" customWidth="1"/>
    <col min="3" max="3" width="11.54296875" customWidth="1"/>
  </cols>
  <sheetData>
    <row r="1" spans="1:2" ht="15" thickBot="1" x14ac:dyDescent="0.4">
      <c r="A1" s="13" t="s">
        <v>67</v>
      </c>
      <c r="B1" s="13" t="s">
        <v>68</v>
      </c>
    </row>
    <row r="2" spans="1:2" ht="15" thickBot="1" x14ac:dyDescent="0.4">
      <c r="A2" s="14" t="s">
        <v>69</v>
      </c>
      <c r="B2" s="14">
        <v>500000</v>
      </c>
    </row>
    <row r="3" spans="1:2" ht="15" thickBot="1" x14ac:dyDescent="0.4">
      <c r="A3" s="14" t="s">
        <v>70</v>
      </c>
      <c r="B3" s="14">
        <v>10500</v>
      </c>
    </row>
    <row r="4" spans="1:2" x14ac:dyDescent="0.35">
      <c r="A4" s="15" t="s">
        <v>71</v>
      </c>
      <c r="B4" s="15">
        <v>25000</v>
      </c>
    </row>
    <row r="5" spans="1:2" ht="41" customHeight="1" x14ac:dyDescent="0.35">
      <c r="A5" s="16" t="s">
        <v>72</v>
      </c>
      <c r="B5" s="17">
        <f>SUM(B2,B3)</f>
        <v>510500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78C2-9B09-4BD8-A50F-58C5674500B8}">
  <dimension ref="A1:C6"/>
  <sheetViews>
    <sheetView workbookViewId="0">
      <selection activeCell="C6" sqref="C6"/>
    </sheetView>
  </sheetViews>
  <sheetFormatPr defaultRowHeight="14.5" x14ac:dyDescent="0.35"/>
  <cols>
    <col min="1" max="1" width="19.6328125" customWidth="1"/>
    <col min="2" max="2" width="14.08984375" customWidth="1"/>
    <col min="3" max="3" width="11.54296875" customWidth="1"/>
  </cols>
  <sheetData>
    <row r="1" spans="1:3" ht="15" thickBot="1" x14ac:dyDescent="0.4">
      <c r="A1" s="9" t="s">
        <v>73</v>
      </c>
      <c r="B1" s="10" t="s">
        <v>74</v>
      </c>
      <c r="C1" s="10" t="s">
        <v>75</v>
      </c>
    </row>
    <row r="2" spans="1:3" ht="15" thickBot="1" x14ac:dyDescent="0.4">
      <c r="A2" s="11" t="s">
        <v>76</v>
      </c>
      <c r="B2" s="12">
        <v>90</v>
      </c>
      <c r="C2" s="12">
        <v>1000</v>
      </c>
    </row>
    <row r="3" spans="1:3" ht="15" thickBot="1" x14ac:dyDescent="0.4">
      <c r="A3" s="11" t="s">
        <v>77</v>
      </c>
      <c r="B3" s="12">
        <v>150</v>
      </c>
      <c r="C3" s="12">
        <v>1200</v>
      </c>
    </row>
    <row r="4" spans="1:3" ht="15" thickBot="1" x14ac:dyDescent="0.4">
      <c r="A4" s="11" t="s">
        <v>78</v>
      </c>
      <c r="B4" s="12">
        <v>250</v>
      </c>
      <c r="C4" s="12">
        <v>1500</v>
      </c>
    </row>
    <row r="6" spans="1:3" ht="70.5" customHeight="1" x14ac:dyDescent="0.35">
      <c r="A6" s="8" t="s">
        <v>79</v>
      </c>
      <c r="B6" s="6">
        <f>AVERAGEIFS(C2:C4,B2:B4,"&gt;100",B2:B4,"&lt;300")</f>
        <v>1350</v>
      </c>
      <c r="C6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EB98-9017-458A-9077-DEEC4058CE81}">
  <dimension ref="A3:B8"/>
  <sheetViews>
    <sheetView tabSelected="1" workbookViewId="0">
      <selection activeCell="C11" sqref="C11"/>
    </sheetView>
  </sheetViews>
  <sheetFormatPr defaultRowHeight="14.5" x14ac:dyDescent="0.35"/>
  <cols>
    <col min="1" max="1" width="9.6328125" bestFit="1" customWidth="1"/>
    <col min="2" max="2" width="10" bestFit="1" customWidth="1"/>
  </cols>
  <sheetData>
    <row r="3" spans="1:2" x14ac:dyDescent="0.35">
      <c r="A3" s="23" t="s">
        <v>62</v>
      </c>
      <c r="B3" s="23" t="s">
        <v>66</v>
      </c>
    </row>
    <row r="4" spans="1:2" x14ac:dyDescent="0.35">
      <c r="A4" s="23" t="s">
        <v>15</v>
      </c>
      <c r="B4" s="24">
        <v>1928</v>
      </c>
    </row>
    <row r="5" spans="1:2" x14ac:dyDescent="0.35">
      <c r="A5" s="23" t="s">
        <v>8</v>
      </c>
      <c r="B5" s="24">
        <v>3650</v>
      </c>
    </row>
    <row r="6" spans="1:2" x14ac:dyDescent="0.35">
      <c r="A6" s="23" t="s">
        <v>2</v>
      </c>
      <c r="B6" s="24">
        <v>7550</v>
      </c>
    </row>
    <row r="7" spans="1:2" x14ac:dyDescent="0.35">
      <c r="A7" s="23" t="s">
        <v>5</v>
      </c>
      <c r="B7" s="24">
        <v>2180</v>
      </c>
    </row>
    <row r="8" spans="1:2" x14ac:dyDescent="0.35">
      <c r="A8" s="23" t="s">
        <v>12</v>
      </c>
      <c r="B8" s="24">
        <v>1235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B356-89EF-4835-98F7-66BE205C481E}">
  <dimension ref="A1:H62"/>
  <sheetViews>
    <sheetView topLeftCell="A48" zoomScale="65" zoomScaleNormal="100" workbookViewId="0">
      <selection activeCell="Q48" sqref="Q48"/>
    </sheetView>
  </sheetViews>
  <sheetFormatPr defaultRowHeight="14.5" x14ac:dyDescent="0.35"/>
  <cols>
    <col min="1" max="1" width="15.81640625" customWidth="1"/>
    <col min="2" max="2" width="14.453125" customWidth="1"/>
    <col min="3" max="3" width="12.36328125" customWidth="1"/>
    <col min="4" max="4" width="13" customWidth="1"/>
    <col min="5" max="5" width="11.08984375" customWidth="1"/>
    <col min="6" max="6" width="11.90625" customWidth="1"/>
    <col min="7" max="7" width="14.26953125" customWidth="1"/>
    <col min="8" max="8" width="17.26953125" customWidth="1"/>
  </cols>
  <sheetData>
    <row r="1" spans="1:8" x14ac:dyDescent="0.35">
      <c r="A1" s="20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5" t="s">
        <v>81</v>
      </c>
    </row>
    <row r="2" spans="1:8" x14ac:dyDescent="0.35">
      <c r="A2" s="2">
        <v>1001</v>
      </c>
      <c r="B2" s="3" t="s">
        <v>0</v>
      </c>
      <c r="C2" s="3" t="s">
        <v>1</v>
      </c>
      <c r="D2" s="3" t="s">
        <v>2</v>
      </c>
      <c r="E2" s="2">
        <v>10</v>
      </c>
      <c r="F2" s="2">
        <v>50</v>
      </c>
      <c r="G2" s="4">
        <v>45296</v>
      </c>
      <c r="H2" s="6">
        <f>E2*F2</f>
        <v>500</v>
      </c>
    </row>
    <row r="3" spans="1:8" x14ac:dyDescent="0.35">
      <c r="A3" s="2">
        <v>1002</v>
      </c>
      <c r="B3" s="3" t="s">
        <v>3</v>
      </c>
      <c r="C3" s="3" t="s">
        <v>4</v>
      </c>
      <c r="D3" s="3" t="s">
        <v>5</v>
      </c>
      <c r="E3" s="2">
        <v>20</v>
      </c>
      <c r="F3" s="2">
        <v>10</v>
      </c>
      <c r="G3" s="4">
        <v>45297</v>
      </c>
      <c r="H3" s="6">
        <f>E3*F3</f>
        <v>200</v>
      </c>
    </row>
    <row r="4" spans="1:8" x14ac:dyDescent="0.35">
      <c r="A4" s="2">
        <v>1003</v>
      </c>
      <c r="B4" s="3" t="s">
        <v>6</v>
      </c>
      <c r="C4" s="3" t="s">
        <v>7</v>
      </c>
      <c r="D4" s="3" t="s">
        <v>8</v>
      </c>
      <c r="E4" s="2">
        <v>15</v>
      </c>
      <c r="F4" s="2">
        <v>25</v>
      </c>
      <c r="G4" s="4">
        <v>45298</v>
      </c>
      <c r="H4" s="6">
        <f t="shared" ref="H4:H51" si="0">E4*F4</f>
        <v>375</v>
      </c>
    </row>
    <row r="5" spans="1:8" ht="23.5" customHeight="1" x14ac:dyDescent="0.35">
      <c r="A5" s="2">
        <v>1004</v>
      </c>
      <c r="B5" s="3" t="s">
        <v>9</v>
      </c>
      <c r="C5" s="3" t="s">
        <v>10</v>
      </c>
      <c r="D5" s="3" t="s">
        <v>2</v>
      </c>
      <c r="E5" s="2">
        <v>5</v>
      </c>
      <c r="F5" s="2">
        <v>50</v>
      </c>
      <c r="G5" s="4">
        <v>45299</v>
      </c>
      <c r="H5" s="6">
        <f t="shared" si="0"/>
        <v>250</v>
      </c>
    </row>
    <row r="6" spans="1:8" x14ac:dyDescent="0.35">
      <c r="A6" s="2">
        <v>1005</v>
      </c>
      <c r="B6" s="3" t="s">
        <v>11</v>
      </c>
      <c r="C6" s="3" t="s">
        <v>1</v>
      </c>
      <c r="D6" s="3" t="s">
        <v>12</v>
      </c>
      <c r="E6" s="2">
        <v>30</v>
      </c>
      <c r="F6" s="2">
        <v>5</v>
      </c>
      <c r="G6" s="4">
        <v>45301</v>
      </c>
      <c r="H6" s="6">
        <f t="shared" si="0"/>
        <v>150</v>
      </c>
    </row>
    <row r="7" spans="1:8" x14ac:dyDescent="0.35">
      <c r="A7" s="2">
        <v>1006</v>
      </c>
      <c r="B7" s="3" t="s">
        <v>13</v>
      </c>
      <c r="C7" s="3" t="s">
        <v>4</v>
      </c>
      <c r="D7" s="3" t="s">
        <v>2</v>
      </c>
      <c r="E7" s="2">
        <v>12</v>
      </c>
      <c r="F7" s="2">
        <v>50</v>
      </c>
      <c r="G7" s="4">
        <v>45302</v>
      </c>
      <c r="H7" s="6">
        <f t="shared" si="0"/>
        <v>600</v>
      </c>
    </row>
    <row r="8" spans="1:8" x14ac:dyDescent="0.35">
      <c r="A8" s="2">
        <v>1007</v>
      </c>
      <c r="B8" s="3" t="s">
        <v>14</v>
      </c>
      <c r="C8" s="3" t="s">
        <v>7</v>
      </c>
      <c r="D8" s="3" t="s">
        <v>15</v>
      </c>
      <c r="E8" s="2">
        <v>25</v>
      </c>
      <c r="F8" s="2">
        <v>8</v>
      </c>
      <c r="G8" s="4">
        <v>45304</v>
      </c>
      <c r="H8" s="6">
        <f t="shared" si="0"/>
        <v>200</v>
      </c>
    </row>
    <row r="9" spans="1:8" x14ac:dyDescent="0.35">
      <c r="A9" s="2">
        <v>1008</v>
      </c>
      <c r="B9" s="3" t="s">
        <v>16</v>
      </c>
      <c r="C9" s="3" t="s">
        <v>10</v>
      </c>
      <c r="D9" s="3" t="s">
        <v>5</v>
      </c>
      <c r="E9" s="2">
        <v>18</v>
      </c>
      <c r="F9" s="2">
        <v>10</v>
      </c>
      <c r="G9" s="4">
        <v>45306</v>
      </c>
      <c r="H9" s="6">
        <f t="shared" si="0"/>
        <v>180</v>
      </c>
    </row>
    <row r="10" spans="1:8" x14ac:dyDescent="0.35">
      <c r="A10" s="2">
        <v>1009</v>
      </c>
      <c r="B10" s="3" t="s">
        <v>17</v>
      </c>
      <c r="C10" s="3" t="s">
        <v>1</v>
      </c>
      <c r="D10" s="3" t="s">
        <v>8</v>
      </c>
      <c r="E10" s="2">
        <v>22</v>
      </c>
      <c r="F10" s="2">
        <v>25</v>
      </c>
      <c r="G10" s="4">
        <v>45308</v>
      </c>
      <c r="H10" s="6">
        <f t="shared" si="0"/>
        <v>550</v>
      </c>
    </row>
    <row r="11" spans="1:8" x14ac:dyDescent="0.35">
      <c r="A11" s="2">
        <v>1010</v>
      </c>
      <c r="B11" s="3" t="s">
        <v>18</v>
      </c>
      <c r="C11" s="3" t="s">
        <v>4</v>
      </c>
      <c r="D11" s="3" t="s">
        <v>2</v>
      </c>
      <c r="E11" s="2">
        <v>8</v>
      </c>
      <c r="F11" s="2">
        <v>50</v>
      </c>
      <c r="G11" s="4">
        <v>45309</v>
      </c>
      <c r="H11" s="6">
        <f t="shared" si="0"/>
        <v>400</v>
      </c>
    </row>
    <row r="12" spans="1:8" x14ac:dyDescent="0.35">
      <c r="A12" s="2">
        <v>1011</v>
      </c>
      <c r="B12" s="3" t="s">
        <v>19</v>
      </c>
      <c r="C12" s="3" t="s">
        <v>7</v>
      </c>
      <c r="D12" s="3" t="s">
        <v>12</v>
      </c>
      <c r="E12" s="2">
        <v>40</v>
      </c>
      <c r="F12" s="2">
        <v>5</v>
      </c>
      <c r="G12" s="4">
        <v>45310</v>
      </c>
      <c r="H12" s="6">
        <f t="shared" si="0"/>
        <v>200</v>
      </c>
    </row>
    <row r="13" spans="1:8" x14ac:dyDescent="0.35">
      <c r="A13" s="2">
        <v>1012</v>
      </c>
      <c r="B13" s="3" t="s">
        <v>20</v>
      </c>
      <c r="C13" s="3" t="s">
        <v>10</v>
      </c>
      <c r="D13" s="3" t="s">
        <v>15</v>
      </c>
      <c r="E13" s="2">
        <v>35</v>
      </c>
      <c r="F13" s="2">
        <v>8</v>
      </c>
      <c r="G13" s="4">
        <v>45311</v>
      </c>
      <c r="H13" s="6">
        <f t="shared" si="0"/>
        <v>280</v>
      </c>
    </row>
    <row r="14" spans="1:8" x14ac:dyDescent="0.35">
      <c r="A14" s="2">
        <v>1013</v>
      </c>
      <c r="B14" s="3" t="s">
        <v>21</v>
      </c>
      <c r="C14" s="3" t="s">
        <v>1</v>
      </c>
      <c r="D14" s="3" t="s">
        <v>2</v>
      </c>
      <c r="E14" s="2">
        <v>14</v>
      </c>
      <c r="F14" s="2">
        <v>50</v>
      </c>
      <c r="G14" s="4">
        <v>45313</v>
      </c>
      <c r="H14" s="6">
        <f t="shared" si="0"/>
        <v>700</v>
      </c>
    </row>
    <row r="15" spans="1:8" x14ac:dyDescent="0.35">
      <c r="A15" s="2">
        <v>1014</v>
      </c>
      <c r="B15" s="3" t="s">
        <v>22</v>
      </c>
      <c r="C15" s="3" t="s">
        <v>4</v>
      </c>
      <c r="D15" s="3" t="s">
        <v>5</v>
      </c>
      <c r="E15" s="2">
        <v>28</v>
      </c>
      <c r="F15" s="2">
        <v>10</v>
      </c>
      <c r="G15" s="4">
        <v>45314</v>
      </c>
      <c r="H15" s="6">
        <f t="shared" si="0"/>
        <v>280</v>
      </c>
    </row>
    <row r="16" spans="1:8" x14ac:dyDescent="0.35">
      <c r="A16" s="2">
        <v>1015</v>
      </c>
      <c r="B16" s="3" t="s">
        <v>23</v>
      </c>
      <c r="C16" s="3" t="s">
        <v>7</v>
      </c>
      <c r="D16" s="3" t="s">
        <v>8</v>
      </c>
      <c r="E16" s="2">
        <v>12</v>
      </c>
      <c r="F16" s="2">
        <v>25</v>
      </c>
      <c r="G16" s="4">
        <v>45315</v>
      </c>
      <c r="H16" s="6">
        <f t="shared" si="0"/>
        <v>300</v>
      </c>
    </row>
    <row r="17" spans="1:8" x14ac:dyDescent="0.35">
      <c r="A17" s="2">
        <v>1016</v>
      </c>
      <c r="B17" s="3" t="s">
        <v>24</v>
      </c>
      <c r="C17" s="3" t="s">
        <v>10</v>
      </c>
      <c r="D17" s="3" t="s">
        <v>12</v>
      </c>
      <c r="E17" s="2">
        <v>25</v>
      </c>
      <c r="F17" s="2">
        <v>5</v>
      </c>
      <c r="G17" s="4">
        <v>45317</v>
      </c>
      <c r="H17" s="6">
        <f t="shared" si="0"/>
        <v>125</v>
      </c>
    </row>
    <row r="18" spans="1:8" x14ac:dyDescent="0.35">
      <c r="A18" s="2">
        <v>1017</v>
      </c>
      <c r="B18" s="3" t="s">
        <v>25</v>
      </c>
      <c r="C18" s="3" t="s">
        <v>1</v>
      </c>
      <c r="D18" s="3" t="s">
        <v>15</v>
      </c>
      <c r="E18" s="2">
        <v>20</v>
      </c>
      <c r="F18" s="2">
        <v>8</v>
      </c>
      <c r="G18" s="4">
        <v>45319</v>
      </c>
      <c r="H18" s="6">
        <f t="shared" si="0"/>
        <v>160</v>
      </c>
    </row>
    <row r="19" spans="1:8" x14ac:dyDescent="0.35">
      <c r="A19" s="2">
        <v>1018</v>
      </c>
      <c r="B19" s="3" t="s">
        <v>26</v>
      </c>
      <c r="C19" s="3" t="s">
        <v>4</v>
      </c>
      <c r="D19" s="3" t="s">
        <v>2</v>
      </c>
      <c r="E19" s="2">
        <v>10</v>
      </c>
      <c r="F19" s="2">
        <v>50</v>
      </c>
      <c r="G19" s="4">
        <v>45320</v>
      </c>
      <c r="H19" s="6">
        <f t="shared" si="0"/>
        <v>500</v>
      </c>
    </row>
    <row r="20" spans="1:8" x14ac:dyDescent="0.35">
      <c r="A20" s="2">
        <v>1019</v>
      </c>
      <c r="B20" s="3" t="s">
        <v>27</v>
      </c>
      <c r="C20" s="3" t="s">
        <v>7</v>
      </c>
      <c r="D20" s="3" t="s">
        <v>5</v>
      </c>
      <c r="E20" s="2">
        <v>15</v>
      </c>
      <c r="F20" s="2">
        <v>10</v>
      </c>
      <c r="G20" s="4">
        <v>45321</v>
      </c>
      <c r="H20" s="6">
        <f t="shared" si="0"/>
        <v>150</v>
      </c>
    </row>
    <row r="21" spans="1:8" x14ac:dyDescent="0.35">
      <c r="A21" s="2">
        <v>1020</v>
      </c>
      <c r="B21" s="3" t="s">
        <v>28</v>
      </c>
      <c r="C21" s="3" t="s">
        <v>10</v>
      </c>
      <c r="D21" s="3" t="s">
        <v>8</v>
      </c>
      <c r="E21" s="2">
        <v>18</v>
      </c>
      <c r="F21" s="2">
        <v>25</v>
      </c>
      <c r="G21" s="4">
        <v>45323</v>
      </c>
      <c r="H21" s="6">
        <f t="shared" si="0"/>
        <v>450</v>
      </c>
    </row>
    <row r="22" spans="1:8" x14ac:dyDescent="0.35">
      <c r="A22" s="2">
        <v>1021</v>
      </c>
      <c r="B22" s="3" t="s">
        <v>29</v>
      </c>
      <c r="C22" s="3" t="s">
        <v>1</v>
      </c>
      <c r="D22" s="3" t="s">
        <v>2</v>
      </c>
      <c r="E22" s="2">
        <v>9</v>
      </c>
      <c r="F22" s="2">
        <v>50</v>
      </c>
      <c r="G22" s="4">
        <v>45324</v>
      </c>
      <c r="H22" s="6">
        <f t="shared" si="0"/>
        <v>450</v>
      </c>
    </row>
    <row r="23" spans="1:8" x14ac:dyDescent="0.35">
      <c r="A23" s="2">
        <v>1022</v>
      </c>
      <c r="B23" s="3" t="s">
        <v>30</v>
      </c>
      <c r="C23" s="3" t="s">
        <v>4</v>
      </c>
      <c r="D23" s="3" t="s">
        <v>12</v>
      </c>
      <c r="E23" s="2">
        <v>35</v>
      </c>
      <c r="F23" s="2">
        <v>5</v>
      </c>
      <c r="G23" s="4">
        <v>45325</v>
      </c>
      <c r="H23" s="6">
        <f t="shared" si="0"/>
        <v>175</v>
      </c>
    </row>
    <row r="24" spans="1:8" x14ac:dyDescent="0.35">
      <c r="A24" s="2">
        <v>1023</v>
      </c>
      <c r="B24" s="3" t="s">
        <v>31</v>
      </c>
      <c r="C24" s="3" t="s">
        <v>7</v>
      </c>
      <c r="D24" s="3" t="s">
        <v>15</v>
      </c>
      <c r="E24" s="2">
        <v>30</v>
      </c>
      <c r="F24" s="2">
        <v>8</v>
      </c>
      <c r="G24" s="4">
        <v>45326</v>
      </c>
      <c r="H24" s="6">
        <f t="shared" si="0"/>
        <v>240</v>
      </c>
    </row>
    <row r="25" spans="1:8" x14ac:dyDescent="0.35">
      <c r="A25" s="2">
        <v>1024</v>
      </c>
      <c r="B25" s="3" t="s">
        <v>32</v>
      </c>
      <c r="C25" s="3" t="s">
        <v>10</v>
      </c>
      <c r="D25" s="3" t="s">
        <v>2</v>
      </c>
      <c r="E25" s="2">
        <v>11</v>
      </c>
      <c r="F25" s="2">
        <v>50</v>
      </c>
      <c r="G25" s="4">
        <v>45328</v>
      </c>
      <c r="H25" s="6">
        <f t="shared" si="0"/>
        <v>550</v>
      </c>
    </row>
    <row r="26" spans="1:8" x14ac:dyDescent="0.35">
      <c r="A26" s="2">
        <v>1025</v>
      </c>
      <c r="B26" s="3" t="s">
        <v>33</v>
      </c>
      <c r="C26" s="3" t="s">
        <v>1</v>
      </c>
      <c r="D26" s="3" t="s">
        <v>5</v>
      </c>
      <c r="E26" s="2">
        <v>14</v>
      </c>
      <c r="F26" s="2">
        <v>10</v>
      </c>
      <c r="G26" s="4">
        <v>45329</v>
      </c>
      <c r="H26" s="6">
        <f t="shared" si="0"/>
        <v>140</v>
      </c>
    </row>
    <row r="27" spans="1:8" x14ac:dyDescent="0.35">
      <c r="A27" s="2">
        <v>1026</v>
      </c>
      <c r="B27" s="3" t="s">
        <v>34</v>
      </c>
      <c r="C27" s="3" t="s">
        <v>4</v>
      </c>
      <c r="D27" s="3" t="s">
        <v>8</v>
      </c>
      <c r="E27" s="2">
        <v>16</v>
      </c>
      <c r="F27" s="2">
        <v>25</v>
      </c>
      <c r="G27" s="4">
        <v>45330</v>
      </c>
      <c r="H27" s="6">
        <f t="shared" si="0"/>
        <v>400</v>
      </c>
    </row>
    <row r="28" spans="1:8" x14ac:dyDescent="0.35">
      <c r="A28" s="2">
        <v>1027</v>
      </c>
      <c r="B28" s="3" t="s">
        <v>35</v>
      </c>
      <c r="C28" s="3" t="s">
        <v>7</v>
      </c>
      <c r="D28" s="3" t="s">
        <v>12</v>
      </c>
      <c r="E28" s="2">
        <v>22</v>
      </c>
      <c r="F28" s="2">
        <v>5</v>
      </c>
      <c r="G28" s="4">
        <v>45331</v>
      </c>
      <c r="H28" s="6">
        <f t="shared" si="0"/>
        <v>110</v>
      </c>
    </row>
    <row r="29" spans="1:8" x14ac:dyDescent="0.35">
      <c r="A29" s="2">
        <v>1028</v>
      </c>
      <c r="B29" s="3" t="s">
        <v>36</v>
      </c>
      <c r="C29" s="3" t="s">
        <v>10</v>
      </c>
      <c r="D29" s="3" t="s">
        <v>15</v>
      </c>
      <c r="E29" s="2">
        <v>27</v>
      </c>
      <c r="F29" s="2">
        <v>8</v>
      </c>
      <c r="G29" s="4">
        <v>45332</v>
      </c>
      <c r="H29" s="6">
        <f t="shared" si="0"/>
        <v>216</v>
      </c>
    </row>
    <row r="30" spans="1:8" x14ac:dyDescent="0.35">
      <c r="A30" s="2">
        <v>1029</v>
      </c>
      <c r="B30" s="3" t="s">
        <v>37</v>
      </c>
      <c r="C30" s="3" t="s">
        <v>1</v>
      </c>
      <c r="D30" s="3" t="s">
        <v>2</v>
      </c>
      <c r="E30" s="2">
        <v>13</v>
      </c>
      <c r="F30" s="2">
        <v>50</v>
      </c>
      <c r="G30" s="4">
        <v>45334</v>
      </c>
      <c r="H30" s="6">
        <f t="shared" si="0"/>
        <v>650</v>
      </c>
    </row>
    <row r="31" spans="1:8" x14ac:dyDescent="0.35">
      <c r="A31" s="2">
        <v>1030</v>
      </c>
      <c r="B31" s="3" t="s">
        <v>38</v>
      </c>
      <c r="C31" s="3" t="s">
        <v>4</v>
      </c>
      <c r="D31" s="3" t="s">
        <v>5</v>
      </c>
      <c r="E31" s="2">
        <v>32</v>
      </c>
      <c r="F31" s="2">
        <v>10</v>
      </c>
      <c r="G31" s="4">
        <v>45335</v>
      </c>
      <c r="H31" s="6">
        <f t="shared" si="0"/>
        <v>320</v>
      </c>
    </row>
    <row r="32" spans="1:8" x14ac:dyDescent="0.35">
      <c r="A32" s="2">
        <v>1031</v>
      </c>
      <c r="B32" s="3" t="s">
        <v>39</v>
      </c>
      <c r="C32" s="3" t="s">
        <v>7</v>
      </c>
      <c r="D32" s="3" t="s">
        <v>8</v>
      </c>
      <c r="E32" s="2">
        <v>10</v>
      </c>
      <c r="F32" s="2">
        <v>25</v>
      </c>
      <c r="G32" s="4">
        <v>45336</v>
      </c>
      <c r="H32" s="6">
        <f t="shared" si="0"/>
        <v>250</v>
      </c>
    </row>
    <row r="33" spans="1:8" x14ac:dyDescent="0.35">
      <c r="A33" s="2">
        <v>1032</v>
      </c>
      <c r="B33" s="3" t="s">
        <v>40</v>
      </c>
      <c r="C33" s="3" t="s">
        <v>10</v>
      </c>
      <c r="D33" s="3" t="s">
        <v>12</v>
      </c>
      <c r="E33" s="2">
        <v>18</v>
      </c>
      <c r="F33" s="2">
        <v>5</v>
      </c>
      <c r="G33" s="4">
        <v>45338</v>
      </c>
      <c r="H33" s="6">
        <f t="shared" si="0"/>
        <v>90</v>
      </c>
    </row>
    <row r="34" spans="1:8" x14ac:dyDescent="0.35">
      <c r="A34" s="2">
        <v>1033</v>
      </c>
      <c r="B34" s="3" t="s">
        <v>41</v>
      </c>
      <c r="C34" s="3" t="s">
        <v>1</v>
      </c>
      <c r="D34" s="3" t="s">
        <v>15</v>
      </c>
      <c r="E34" s="2">
        <v>22</v>
      </c>
      <c r="F34" s="2">
        <v>8</v>
      </c>
      <c r="G34" s="4">
        <v>45339</v>
      </c>
      <c r="H34" s="6">
        <f t="shared" si="0"/>
        <v>176</v>
      </c>
    </row>
    <row r="35" spans="1:8" x14ac:dyDescent="0.35">
      <c r="A35" s="2">
        <v>1034</v>
      </c>
      <c r="B35" s="3" t="s">
        <v>42</v>
      </c>
      <c r="C35" s="3" t="s">
        <v>4</v>
      </c>
      <c r="D35" s="3" t="s">
        <v>2</v>
      </c>
      <c r="E35" s="2">
        <v>17</v>
      </c>
      <c r="F35" s="2">
        <v>50</v>
      </c>
      <c r="G35" s="4">
        <v>45340</v>
      </c>
      <c r="H35" s="6">
        <f t="shared" si="0"/>
        <v>850</v>
      </c>
    </row>
    <row r="36" spans="1:8" x14ac:dyDescent="0.35">
      <c r="A36" s="2">
        <v>1035</v>
      </c>
      <c r="B36" s="3" t="s">
        <v>43</v>
      </c>
      <c r="C36" s="3" t="s">
        <v>7</v>
      </c>
      <c r="D36" s="3" t="s">
        <v>5</v>
      </c>
      <c r="E36" s="2">
        <v>19</v>
      </c>
      <c r="F36" s="2">
        <v>10</v>
      </c>
      <c r="G36" s="4">
        <v>45341</v>
      </c>
      <c r="H36" s="6">
        <f t="shared" si="0"/>
        <v>190</v>
      </c>
    </row>
    <row r="37" spans="1:8" x14ac:dyDescent="0.35">
      <c r="A37" s="2">
        <v>1036</v>
      </c>
      <c r="B37" s="3" t="s">
        <v>44</v>
      </c>
      <c r="C37" s="3" t="s">
        <v>10</v>
      </c>
      <c r="D37" s="3" t="s">
        <v>8</v>
      </c>
      <c r="E37" s="2">
        <v>15</v>
      </c>
      <c r="F37" s="2">
        <v>25</v>
      </c>
      <c r="G37" s="4">
        <v>45343</v>
      </c>
      <c r="H37" s="6">
        <f t="shared" si="0"/>
        <v>375</v>
      </c>
    </row>
    <row r="38" spans="1:8" x14ac:dyDescent="0.35">
      <c r="A38" s="2">
        <v>1037</v>
      </c>
      <c r="B38" s="3" t="s">
        <v>45</v>
      </c>
      <c r="C38" s="3" t="s">
        <v>1</v>
      </c>
      <c r="D38" s="3" t="s">
        <v>12</v>
      </c>
      <c r="E38" s="2">
        <v>28</v>
      </c>
      <c r="F38" s="2">
        <v>5</v>
      </c>
      <c r="G38" s="4">
        <v>45344</v>
      </c>
      <c r="H38" s="6">
        <f t="shared" si="0"/>
        <v>140</v>
      </c>
    </row>
    <row r="39" spans="1:8" x14ac:dyDescent="0.35">
      <c r="A39" s="2">
        <v>1038</v>
      </c>
      <c r="B39" s="3" t="s">
        <v>46</v>
      </c>
      <c r="C39" s="3" t="s">
        <v>4</v>
      </c>
      <c r="D39" s="3" t="s">
        <v>15</v>
      </c>
      <c r="E39" s="2">
        <v>24</v>
      </c>
      <c r="F39" s="2">
        <v>8</v>
      </c>
      <c r="G39" s="4">
        <v>45345</v>
      </c>
      <c r="H39" s="6">
        <f t="shared" si="0"/>
        <v>192</v>
      </c>
    </row>
    <row r="40" spans="1:8" x14ac:dyDescent="0.35">
      <c r="A40" s="2">
        <v>1039</v>
      </c>
      <c r="B40" s="3" t="s">
        <v>47</v>
      </c>
      <c r="C40" s="3" t="s">
        <v>7</v>
      </c>
      <c r="D40" s="3" t="s">
        <v>2</v>
      </c>
      <c r="E40" s="2">
        <v>16</v>
      </c>
      <c r="F40" s="2">
        <v>50</v>
      </c>
      <c r="G40" s="4">
        <v>45347</v>
      </c>
      <c r="H40" s="6">
        <f t="shared" si="0"/>
        <v>800</v>
      </c>
    </row>
    <row r="41" spans="1:8" x14ac:dyDescent="0.35">
      <c r="A41" s="2">
        <v>1040</v>
      </c>
      <c r="B41" s="3" t="s">
        <v>48</v>
      </c>
      <c r="C41" s="3" t="s">
        <v>10</v>
      </c>
      <c r="D41" s="3" t="s">
        <v>5</v>
      </c>
      <c r="E41" s="2">
        <v>27</v>
      </c>
      <c r="F41" s="2">
        <v>10</v>
      </c>
      <c r="G41" s="4">
        <v>45348</v>
      </c>
      <c r="H41" s="6">
        <f t="shared" si="0"/>
        <v>270</v>
      </c>
    </row>
    <row r="42" spans="1:8" x14ac:dyDescent="0.35">
      <c r="A42" s="2">
        <v>1041</v>
      </c>
      <c r="B42" s="3" t="s">
        <v>49</v>
      </c>
      <c r="C42" s="3" t="s">
        <v>1</v>
      </c>
      <c r="D42" s="3" t="s">
        <v>8</v>
      </c>
      <c r="E42" s="2">
        <v>21</v>
      </c>
      <c r="F42" s="2">
        <v>25</v>
      </c>
      <c r="G42" s="4">
        <v>45349</v>
      </c>
      <c r="H42" s="6">
        <f t="shared" si="0"/>
        <v>525</v>
      </c>
    </row>
    <row r="43" spans="1:8" x14ac:dyDescent="0.35">
      <c r="A43" s="2">
        <v>1042</v>
      </c>
      <c r="B43" s="3" t="s">
        <v>50</v>
      </c>
      <c r="C43" s="3" t="s">
        <v>4</v>
      </c>
      <c r="D43" s="3" t="s">
        <v>12</v>
      </c>
      <c r="E43" s="2">
        <v>30</v>
      </c>
      <c r="F43" s="2">
        <v>5</v>
      </c>
      <c r="G43" s="4">
        <v>45350</v>
      </c>
      <c r="H43" s="6">
        <f t="shared" si="0"/>
        <v>150</v>
      </c>
    </row>
    <row r="44" spans="1:8" x14ac:dyDescent="0.35">
      <c r="A44" s="2">
        <v>1043</v>
      </c>
      <c r="B44" s="3" t="s">
        <v>51</v>
      </c>
      <c r="C44" s="3" t="s">
        <v>7</v>
      </c>
      <c r="D44" s="3" t="s">
        <v>15</v>
      </c>
      <c r="E44" s="2">
        <v>26</v>
      </c>
      <c r="F44" s="2">
        <v>8</v>
      </c>
      <c r="G44" s="4">
        <v>45352</v>
      </c>
      <c r="H44" s="6">
        <f t="shared" si="0"/>
        <v>208</v>
      </c>
    </row>
    <row r="45" spans="1:8" x14ac:dyDescent="0.35">
      <c r="A45" s="2">
        <v>1044</v>
      </c>
      <c r="B45" s="3" t="s">
        <v>52</v>
      </c>
      <c r="C45" s="3" t="s">
        <v>10</v>
      </c>
      <c r="D45" s="3" t="s">
        <v>2</v>
      </c>
      <c r="E45" s="2">
        <v>14</v>
      </c>
      <c r="F45" s="2">
        <v>50</v>
      </c>
      <c r="G45" s="4">
        <v>45353</v>
      </c>
      <c r="H45" s="6">
        <f t="shared" si="0"/>
        <v>700</v>
      </c>
    </row>
    <row r="46" spans="1:8" x14ac:dyDescent="0.35">
      <c r="A46" s="2">
        <v>1045</v>
      </c>
      <c r="B46" s="3" t="s">
        <v>53</v>
      </c>
      <c r="C46" s="3" t="s">
        <v>1</v>
      </c>
      <c r="D46" s="3" t="s">
        <v>5</v>
      </c>
      <c r="E46" s="2">
        <v>20</v>
      </c>
      <c r="F46" s="2">
        <v>10</v>
      </c>
      <c r="G46" s="4">
        <v>45354</v>
      </c>
      <c r="H46" s="6">
        <f t="shared" si="0"/>
        <v>200</v>
      </c>
    </row>
    <row r="47" spans="1:8" x14ac:dyDescent="0.35">
      <c r="A47" s="2">
        <v>1046</v>
      </c>
      <c r="B47" s="3" t="s">
        <v>54</v>
      </c>
      <c r="C47" s="3" t="s">
        <v>4</v>
      </c>
      <c r="D47" s="3" t="s">
        <v>8</v>
      </c>
      <c r="E47" s="2">
        <v>17</v>
      </c>
      <c r="F47" s="2">
        <v>25</v>
      </c>
      <c r="G47" s="4">
        <v>45355</v>
      </c>
      <c r="H47" s="6">
        <f t="shared" si="0"/>
        <v>425</v>
      </c>
    </row>
    <row r="48" spans="1:8" x14ac:dyDescent="0.35">
      <c r="A48" s="2">
        <v>1047</v>
      </c>
      <c r="B48" s="3" t="s">
        <v>55</v>
      </c>
      <c r="C48" s="3" t="s">
        <v>7</v>
      </c>
      <c r="D48" s="3" t="s">
        <v>12</v>
      </c>
      <c r="E48" s="2">
        <v>19</v>
      </c>
      <c r="F48" s="2">
        <v>5</v>
      </c>
      <c r="G48" s="4">
        <v>45356</v>
      </c>
      <c r="H48" s="6">
        <f t="shared" si="0"/>
        <v>95</v>
      </c>
    </row>
    <row r="49" spans="1:8" x14ac:dyDescent="0.35">
      <c r="A49" s="2">
        <v>1048</v>
      </c>
      <c r="B49" s="3" t="s">
        <v>56</v>
      </c>
      <c r="C49" s="3" t="s">
        <v>10</v>
      </c>
      <c r="D49" s="3" t="s">
        <v>15</v>
      </c>
      <c r="E49" s="2">
        <v>32</v>
      </c>
      <c r="F49" s="2">
        <v>8</v>
      </c>
      <c r="G49" s="4">
        <v>45357</v>
      </c>
      <c r="H49" s="6">
        <f t="shared" si="0"/>
        <v>256</v>
      </c>
    </row>
    <row r="50" spans="1:8" x14ac:dyDescent="0.35">
      <c r="A50" s="2">
        <v>1049</v>
      </c>
      <c r="B50" s="3" t="s">
        <v>57</v>
      </c>
      <c r="C50" s="3" t="s">
        <v>1</v>
      </c>
      <c r="D50" s="3" t="s">
        <v>2</v>
      </c>
      <c r="E50" s="2">
        <v>12</v>
      </c>
      <c r="F50" s="2">
        <v>50</v>
      </c>
      <c r="G50" s="4">
        <v>45358</v>
      </c>
      <c r="H50" s="6">
        <f t="shared" si="0"/>
        <v>600</v>
      </c>
    </row>
    <row r="51" spans="1:8" x14ac:dyDescent="0.35">
      <c r="A51" s="2">
        <v>1050</v>
      </c>
      <c r="B51" s="3" t="s">
        <v>58</v>
      </c>
      <c r="C51" s="3" t="s">
        <v>4</v>
      </c>
      <c r="D51" s="3" t="s">
        <v>5</v>
      </c>
      <c r="E51" s="2">
        <v>25</v>
      </c>
      <c r="F51" s="2">
        <v>10</v>
      </c>
      <c r="G51" s="4">
        <v>45359</v>
      </c>
      <c r="H51" s="6">
        <f t="shared" si="0"/>
        <v>250</v>
      </c>
    </row>
    <row r="52" spans="1:8" ht="13" customHeight="1" x14ac:dyDescent="0.35">
      <c r="A52" s="7"/>
    </row>
    <row r="53" spans="1:8" ht="76.5" customHeight="1" x14ac:dyDescent="0.35">
      <c r="A53" s="18" t="s">
        <v>80</v>
      </c>
      <c r="B53" s="19">
        <f>COUNTA(B2:B51)</f>
        <v>50</v>
      </c>
      <c r="C53" s="26"/>
      <c r="D53" s="26"/>
      <c r="E53" s="26"/>
      <c r="F53" s="26"/>
      <c r="G53" s="26"/>
      <c r="H53" s="26"/>
    </row>
    <row r="55" spans="1:8" ht="74.5" customHeight="1" x14ac:dyDescent="0.35">
      <c r="A55" s="21" t="s">
        <v>82</v>
      </c>
      <c r="B55" s="22">
        <f>SUMIFS(H2:H51,C2:C51,"north",D2:D51,"notebook")</f>
        <v>2900</v>
      </c>
      <c r="C55" s="26"/>
      <c r="D55" s="26"/>
      <c r="E55" s="26"/>
      <c r="F55" s="26"/>
      <c r="G55" s="26"/>
      <c r="H55" s="26"/>
    </row>
    <row r="57" spans="1:8" x14ac:dyDescent="0.35">
      <c r="A57" s="25"/>
      <c r="B57" s="25"/>
      <c r="C57" s="26"/>
      <c r="D57" s="26"/>
      <c r="E57" s="26"/>
      <c r="F57" s="26"/>
      <c r="G57" s="26"/>
      <c r="H57" s="26"/>
    </row>
    <row r="58" spans="1:8" x14ac:dyDescent="0.35">
      <c r="A58" s="26"/>
      <c r="B58" s="26"/>
      <c r="C58" s="26"/>
      <c r="D58" s="26"/>
      <c r="E58" s="26"/>
      <c r="F58" s="26"/>
      <c r="G58" s="26"/>
      <c r="H58" s="26"/>
    </row>
    <row r="59" spans="1:8" x14ac:dyDescent="0.35">
      <c r="A59" s="26"/>
      <c r="B59" s="26"/>
      <c r="C59" s="26"/>
      <c r="D59" s="26"/>
      <c r="E59" s="26"/>
      <c r="F59" s="26"/>
      <c r="G59" s="26"/>
      <c r="H59" s="26"/>
    </row>
    <row r="60" spans="1:8" x14ac:dyDescent="0.35">
      <c r="A60" s="26"/>
      <c r="B60" s="26"/>
      <c r="C60" s="26"/>
      <c r="D60" s="26"/>
      <c r="E60" s="26"/>
      <c r="F60" s="26"/>
      <c r="G60" s="26"/>
      <c r="H60" s="26"/>
    </row>
    <row r="61" spans="1:8" x14ac:dyDescent="0.35">
      <c r="A61" s="26"/>
      <c r="B61" s="26"/>
      <c r="C61" s="26"/>
      <c r="D61" s="26"/>
      <c r="E61" s="26"/>
      <c r="F61" s="26"/>
      <c r="G61" s="26"/>
      <c r="H61" s="26"/>
    </row>
    <row r="62" spans="1:8" x14ac:dyDescent="0.35">
      <c r="A62" s="26"/>
      <c r="B62" s="26"/>
      <c r="C62" s="26"/>
      <c r="D62" s="26"/>
      <c r="E62" s="26"/>
      <c r="F62" s="26"/>
      <c r="G62" s="26"/>
      <c r="H62" s="2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 2</vt:lpstr>
      <vt:lpstr>Q 3</vt:lpstr>
      <vt:lpstr>Q 7</vt:lpstr>
      <vt:lpstr>Q 4,5,6,,8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pushvinder yadav</dc:creator>
  <cp:lastModifiedBy>pushvinder yadav</cp:lastModifiedBy>
  <dcterms:created xsi:type="dcterms:W3CDTF">2025-11-10T04:06:35Z</dcterms:created>
  <dcterms:modified xsi:type="dcterms:W3CDTF">2025-11-10T08:44:44Z</dcterms:modified>
</cp:coreProperties>
</file>